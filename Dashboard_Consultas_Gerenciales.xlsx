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 Quintana\Desktop\Alisson Reyes\"/>
    </mc:Choice>
  </mc:AlternateContent>
  <xr:revisionPtr revIDLastSave="0" documentId="8_{21513A72-5631-4434-BBA3-AA45E6CC1DA4}" xr6:coauthVersionLast="47" xr6:coauthVersionMax="47" xr10:uidLastSave="{00000000-0000-0000-0000-000000000000}"/>
  <bookViews>
    <workbookView xWindow="-120" yWindow="-120" windowWidth="24240" windowHeight="13140" xr2:uid="{C6611EC7-8D8F-41AE-B6FC-C704D7987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L7" i="1"/>
  <c r="J7" i="1"/>
</calcChain>
</file>

<file path=xl/sharedStrings.xml><?xml version="1.0" encoding="utf-8"?>
<sst xmlns="http://schemas.openxmlformats.org/spreadsheetml/2006/main" count="70" uniqueCount="51">
  <si>
    <t>Codigo Cliente</t>
  </si>
  <si>
    <t>Nombre Empresa</t>
  </si>
  <si>
    <t>Telefono</t>
  </si>
  <si>
    <t>Correo</t>
  </si>
  <si>
    <t>R</t>
  </si>
  <si>
    <t>Representante Legal</t>
  </si>
  <si>
    <t>Saldo Pendiente</t>
  </si>
  <si>
    <t xml:space="preserve">Juan </t>
  </si>
  <si>
    <t xml:space="preserve">Pedro </t>
  </si>
  <si>
    <t>Janaly</t>
  </si>
  <si>
    <t xml:space="preserve">Eduardo </t>
  </si>
  <si>
    <t>Avon</t>
  </si>
  <si>
    <t xml:space="preserve">Dior </t>
  </si>
  <si>
    <t xml:space="preserve">Mac Donald </t>
  </si>
  <si>
    <t xml:space="preserve">Pollo Cmpero </t>
  </si>
  <si>
    <t xml:space="preserve">Dominos </t>
  </si>
  <si>
    <t>Toto</t>
  </si>
  <si>
    <t>Burger King</t>
  </si>
  <si>
    <t>KFC</t>
  </si>
  <si>
    <t xml:space="preserve">Doritos </t>
  </si>
  <si>
    <t>Sarita</t>
  </si>
  <si>
    <t xml:space="preserve">Diana </t>
  </si>
  <si>
    <t xml:space="preserve">Bershka </t>
  </si>
  <si>
    <t>Samsung</t>
  </si>
  <si>
    <t>Aplee</t>
  </si>
  <si>
    <t xml:space="preserve">Bimbo </t>
  </si>
  <si>
    <t>Nestle</t>
  </si>
  <si>
    <t xml:space="preserve">Danonino </t>
  </si>
  <si>
    <t>Nike</t>
  </si>
  <si>
    <t>Puma</t>
  </si>
  <si>
    <t>Adidas</t>
  </si>
  <si>
    <t>avon12@gmail.com</t>
  </si>
  <si>
    <t>Pablo</t>
  </si>
  <si>
    <t>Mateo</t>
  </si>
  <si>
    <t>Daniela</t>
  </si>
  <si>
    <t>Esteban</t>
  </si>
  <si>
    <t>Anderson</t>
  </si>
  <si>
    <t>Abigail</t>
  </si>
  <si>
    <t>Joshua</t>
  </si>
  <si>
    <t>Estefany</t>
  </si>
  <si>
    <t>Gerzom</t>
  </si>
  <si>
    <t xml:space="preserve">Daniel </t>
  </si>
  <si>
    <t>Sofia</t>
  </si>
  <si>
    <t>Marcos</t>
  </si>
  <si>
    <t xml:space="preserve">Andy </t>
  </si>
  <si>
    <t>Wilson</t>
  </si>
  <si>
    <t>Maria</t>
  </si>
  <si>
    <t>Helen</t>
  </si>
  <si>
    <t>Column1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</si>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</sst>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Q&quot;#,##0;[Red]\-&quot;Q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6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3">
    <dxf>
      <fill>
        <patternFill>
          <bgColor rgb="FFC00000"/>
        </patternFill>
      </fill>
    </dxf>
    <dxf>
      <font>
        <color theme="1" tint="4.9989318521683403E-2"/>
      </font>
      <fill>
        <gradientFill degree="90">
          <stop position="0">
            <color theme="5" tint="0.80001220740379042"/>
          </stop>
          <stop position="1">
            <color theme="5" tint="0.40000610370189521"/>
          </stop>
        </gradient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 style="thin">
          <color rgb="FFC00000"/>
        </vertical>
        <horizontal style="thin">
          <color rgb="FFC00000"/>
        </horizontal>
      </border>
    </dxf>
    <dxf>
      <numFmt numFmtId="10" formatCode="&quot;Q&quot;#,##0;[Red]\-&quot;Q&quot;#,##0"/>
    </dxf>
  </dxfs>
  <tableStyles count="1" defaultTableStyle="TableStyleMedium2" defaultPivotStyle="PivotStyleLight16">
    <tableStyle name="Table Style 1" pivot="0" count="2" xr9:uid="{209B4EDA-103B-4132-9B5B-15ADEBE3FE40}">
      <tableStyleElement type="wholeTable" dxfId="1"/>
      <tableStyleElement type="headerRow" dxfId="0"/>
    </tableStyle>
  </tableStyles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ED8EB-5ED9-4D5A-8441-D61A425CFC3D}" name="Table1" displayName="Table1" ref="A1:G21" totalsRowShown="0">
  <autoFilter ref="A1:G21" xr:uid="{90DED8EB-5ED9-4D5A-8441-D61A425CFC3D}"/>
  <tableColumns count="7">
    <tableColumn id="1" xr3:uid="{2E787507-0435-41D4-92A6-E04AFF8E8A13}" name="Codigo Cliente"/>
    <tableColumn id="2" xr3:uid="{E285191C-10A8-4E0F-AFB0-5583F016593E}" name="Nombre Empresa"/>
    <tableColumn id="3" xr3:uid="{CC211ED2-2727-47F9-80EC-88FB549F4F70}" name="Telefono"/>
    <tableColumn id="4" xr3:uid="{043833FF-674E-4D6D-B908-D011D79DB8C4}" name="Correo" dataCellStyle="Hyperlink"/>
    <tableColumn id="5" xr3:uid="{192E1D80-BB5E-4B9C-9247-533458E71572}" name="Representante Legal"/>
    <tableColumn id="6" xr3:uid="{7B846638-6396-4309-93D2-9ADFEE4746CA}" name="Saldo Pendiente" dataDxfId="2"/>
    <tableColumn id="7" xr3:uid="{D5E97E1A-9694-422B-BCEB-8AA1BA75D895}" name="Column1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von12@gmail.com" TargetMode="External"/><Relationship Id="rId1" Type="http://schemas.openxmlformats.org/officeDocument/2006/relationships/hyperlink" Target="mailto:avon12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8BE9-68DF-49ED-84CB-985ED968EEA6}">
  <dimension ref="A1:L21"/>
  <sheetViews>
    <sheetView tabSelected="1" workbookViewId="0">
      <selection activeCell="J7" sqref="J7"/>
    </sheetView>
  </sheetViews>
  <sheetFormatPr defaultRowHeight="15" x14ac:dyDescent="0.25"/>
  <cols>
    <col min="1" max="1" width="18.85546875" customWidth="1"/>
    <col min="2" max="2" width="19.28515625" customWidth="1"/>
    <col min="3" max="3" width="17.85546875" customWidth="1"/>
    <col min="4" max="4" width="22.42578125" customWidth="1"/>
    <col min="5" max="5" width="27.42578125" customWidth="1"/>
    <col min="6" max="6" width="17.5703125" customWidth="1"/>
    <col min="7" max="7" width="0.42578125" hidden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48</v>
      </c>
    </row>
    <row r="2" spans="1:12" x14ac:dyDescent="0.25">
      <c r="A2">
        <v>12</v>
      </c>
      <c r="B2" t="s">
        <v>11</v>
      </c>
      <c r="C2">
        <v>12345678</v>
      </c>
      <c r="D2" s="1" t="s">
        <v>31</v>
      </c>
      <c r="E2" t="s">
        <v>8</v>
      </c>
      <c r="F2" s="2">
        <v>1500</v>
      </c>
    </row>
    <row r="3" spans="1:12" x14ac:dyDescent="0.25">
      <c r="A3">
        <v>23</v>
      </c>
      <c r="B3" t="s">
        <v>12</v>
      </c>
      <c r="C3">
        <v>98765432</v>
      </c>
      <c r="D3" s="1" t="s">
        <v>31</v>
      </c>
      <c r="E3" t="s">
        <v>7</v>
      </c>
      <c r="F3" s="2">
        <v>2000</v>
      </c>
    </row>
    <row r="4" spans="1:12" x14ac:dyDescent="0.25">
      <c r="A4">
        <v>34</v>
      </c>
      <c r="B4" t="s">
        <v>13</v>
      </c>
      <c r="C4">
        <v>21436587</v>
      </c>
      <c r="D4" s="1" t="s">
        <v>31</v>
      </c>
      <c r="E4" t="s">
        <v>32</v>
      </c>
      <c r="F4" s="2">
        <v>3500</v>
      </c>
      <c r="J4" s="3">
        <v>12</v>
      </c>
    </row>
    <row r="5" spans="1:12" x14ac:dyDescent="0.25">
      <c r="A5">
        <v>45</v>
      </c>
      <c r="B5" t="s">
        <v>14</v>
      </c>
      <c r="C5">
        <v>19989887</v>
      </c>
      <c r="D5" s="1" t="s">
        <v>31</v>
      </c>
      <c r="E5" t="s">
        <v>33</v>
      </c>
      <c r="F5" s="2">
        <v>1200</v>
      </c>
    </row>
    <row r="6" spans="1:12" x14ac:dyDescent="0.25">
      <c r="A6">
        <v>56</v>
      </c>
      <c r="B6" t="s">
        <v>15</v>
      </c>
      <c r="C6">
        <v>12345678</v>
      </c>
      <c r="D6" s="1" t="s">
        <v>31</v>
      </c>
      <c r="E6" t="s">
        <v>34</v>
      </c>
      <c r="F6" s="2">
        <v>4567</v>
      </c>
      <c r="J6" s="3" t="s">
        <v>49</v>
      </c>
      <c r="K6" s="3" t="s">
        <v>4</v>
      </c>
      <c r="L6" s="3" t="s">
        <v>50</v>
      </c>
    </row>
    <row r="7" spans="1:12" x14ac:dyDescent="0.25">
      <c r="A7">
        <v>67</v>
      </c>
      <c r="B7" t="s">
        <v>16</v>
      </c>
      <c r="C7">
        <v>15643312</v>
      </c>
      <c r="D7" s="1" t="s">
        <v>31</v>
      </c>
      <c r="E7" t="s">
        <v>35</v>
      </c>
      <c r="F7" s="2">
        <v>4153.6000000000004</v>
      </c>
      <c r="J7" s="3" t="str">
        <f>VLOOKUP(J4,Table1[],2,FALSE)</f>
        <v>Avon</v>
      </c>
      <c r="K7" s="3" t="str">
        <f>VLOOKUP(J4,Table1[],5,FALSE)</f>
        <v xml:space="preserve">Pedro </v>
      </c>
      <c r="L7" s="3">
        <f>VLOOKUP(J4,Table1[],6,FALSE)</f>
        <v>1500</v>
      </c>
    </row>
    <row r="8" spans="1:12" x14ac:dyDescent="0.25">
      <c r="A8">
        <v>78</v>
      </c>
      <c r="B8" t="s">
        <v>17</v>
      </c>
      <c r="C8">
        <v>78986545</v>
      </c>
      <c r="D8" s="1" t="s">
        <v>31</v>
      </c>
      <c r="E8" t="s">
        <v>36</v>
      </c>
      <c r="F8" s="2">
        <v>4687</v>
      </c>
    </row>
    <row r="9" spans="1:12" x14ac:dyDescent="0.25">
      <c r="A9">
        <v>89</v>
      </c>
      <c r="B9" t="s">
        <v>18</v>
      </c>
      <c r="C9">
        <v>56270631</v>
      </c>
      <c r="D9" s="1" t="s">
        <v>31</v>
      </c>
      <c r="E9" t="s">
        <v>10</v>
      </c>
      <c r="F9" s="2">
        <v>5220.3999999999996</v>
      </c>
    </row>
    <row r="10" spans="1:12" x14ac:dyDescent="0.25">
      <c r="A10">
        <v>32</v>
      </c>
      <c r="B10" t="s">
        <v>19</v>
      </c>
      <c r="C10">
        <v>90873456</v>
      </c>
      <c r="D10" s="1" t="s">
        <v>31</v>
      </c>
      <c r="E10" t="s">
        <v>37</v>
      </c>
      <c r="F10" s="2">
        <v>5753.8</v>
      </c>
    </row>
    <row r="11" spans="1:12" x14ac:dyDescent="0.25">
      <c r="A11">
        <v>67</v>
      </c>
      <c r="B11" t="s">
        <v>20</v>
      </c>
      <c r="C11">
        <v>89654321</v>
      </c>
      <c r="D11" s="1" t="s">
        <v>31</v>
      </c>
      <c r="E11" t="s">
        <v>38</v>
      </c>
      <c r="F11" s="2">
        <v>6287.2</v>
      </c>
    </row>
    <row r="12" spans="1:12" x14ac:dyDescent="0.25">
      <c r="A12">
        <v>9</v>
      </c>
      <c r="B12" t="s">
        <v>21</v>
      </c>
      <c r="C12">
        <v>90345678</v>
      </c>
      <c r="D12" s="1" t="s">
        <v>31</v>
      </c>
      <c r="E12" t="s">
        <v>39</v>
      </c>
      <c r="F12" s="2">
        <v>6820.6</v>
      </c>
    </row>
    <row r="13" spans="1:12" x14ac:dyDescent="0.25">
      <c r="A13">
        <v>12</v>
      </c>
      <c r="B13" t="s">
        <v>22</v>
      </c>
      <c r="C13">
        <v>12349745</v>
      </c>
      <c r="D13" s="1" t="s">
        <v>31</v>
      </c>
      <c r="E13" t="s">
        <v>40</v>
      </c>
      <c r="F13" s="2">
        <v>7354</v>
      </c>
    </row>
    <row r="14" spans="1:12" x14ac:dyDescent="0.25">
      <c r="A14">
        <v>54</v>
      </c>
      <c r="B14" t="s">
        <v>23</v>
      </c>
      <c r="C14">
        <v>89563712</v>
      </c>
      <c r="D14" s="1" t="s">
        <v>31</v>
      </c>
      <c r="E14" t="s">
        <v>41</v>
      </c>
      <c r="F14" s="2">
        <v>7887.4</v>
      </c>
    </row>
    <row r="15" spans="1:12" x14ac:dyDescent="0.25">
      <c r="A15">
        <v>98</v>
      </c>
      <c r="B15" t="s">
        <v>24</v>
      </c>
      <c r="C15">
        <v>46742312</v>
      </c>
      <c r="D15" s="1" t="s">
        <v>31</v>
      </c>
      <c r="E15" t="s">
        <v>42</v>
      </c>
      <c r="F15" s="2">
        <v>8420.7999999999993</v>
      </c>
    </row>
    <row r="16" spans="1:12" x14ac:dyDescent="0.25">
      <c r="A16">
        <v>76</v>
      </c>
      <c r="B16" t="s">
        <v>25</v>
      </c>
      <c r="C16">
        <v>54327896</v>
      </c>
      <c r="D16" s="1" t="s">
        <v>31</v>
      </c>
      <c r="E16" t="s">
        <v>43</v>
      </c>
      <c r="F16" s="2">
        <v>8954.2000000000007</v>
      </c>
    </row>
    <row r="17" spans="1:6" x14ac:dyDescent="0.25">
      <c r="A17">
        <v>54</v>
      </c>
      <c r="B17" t="s">
        <v>26</v>
      </c>
      <c r="C17">
        <v>23470268</v>
      </c>
      <c r="D17" s="1" t="s">
        <v>31</v>
      </c>
      <c r="E17" t="s">
        <v>9</v>
      </c>
      <c r="F17" s="2">
        <v>9487.6</v>
      </c>
    </row>
    <row r="18" spans="1:6" x14ac:dyDescent="0.25">
      <c r="A18">
        <v>32</v>
      </c>
      <c r="B18" t="s">
        <v>27</v>
      </c>
      <c r="C18">
        <v>12489023</v>
      </c>
      <c r="D18" s="1" t="s">
        <v>31</v>
      </c>
      <c r="E18" t="s">
        <v>44</v>
      </c>
      <c r="F18" s="2">
        <v>10021</v>
      </c>
    </row>
    <row r="19" spans="1:6" x14ac:dyDescent="0.25">
      <c r="A19">
        <v>12</v>
      </c>
      <c r="B19" t="s">
        <v>28</v>
      </c>
      <c r="C19">
        <v>12874356</v>
      </c>
      <c r="D19" s="1" t="s">
        <v>31</v>
      </c>
      <c r="E19" t="s">
        <v>45</v>
      </c>
      <c r="F19" s="2">
        <v>10554.4</v>
      </c>
    </row>
    <row r="20" spans="1:6" x14ac:dyDescent="0.25">
      <c r="A20">
        <v>45</v>
      </c>
      <c r="B20" t="s">
        <v>29</v>
      </c>
      <c r="C20">
        <v>19754312</v>
      </c>
      <c r="D20" s="1" t="s">
        <v>31</v>
      </c>
      <c r="E20" t="s">
        <v>46</v>
      </c>
      <c r="F20" s="2">
        <v>11087.8</v>
      </c>
    </row>
    <row r="21" spans="1:6" x14ac:dyDescent="0.25">
      <c r="A21">
        <v>11</v>
      </c>
      <c r="B21" t="s">
        <v>30</v>
      </c>
      <c r="C21">
        <v>98475029</v>
      </c>
      <c r="D21" s="1" t="s">
        <v>31</v>
      </c>
      <c r="E21" t="s">
        <v>47</v>
      </c>
      <c r="F21" s="2">
        <v>11621.2</v>
      </c>
    </row>
  </sheetData>
  <hyperlinks>
    <hyperlink ref="D2" r:id="rId1" xr:uid="{1CCD6ECB-7D65-4EB7-9338-D08F7D48B3B4}"/>
    <hyperlink ref="D3:D21" r:id="rId2" display="avon12@gmail.com" xr:uid="{BB4EBF21-4D23-439D-AE54-50D453927B15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Quintana</dc:creator>
  <cp:lastModifiedBy>Joel Quintana</cp:lastModifiedBy>
  <dcterms:created xsi:type="dcterms:W3CDTF">2026-05-21T16:57:23Z</dcterms:created>
  <dcterms:modified xsi:type="dcterms:W3CDTF">2026-05-21T17:24:56Z</dcterms:modified>
</cp:coreProperties>
</file>