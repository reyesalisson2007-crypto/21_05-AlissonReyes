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Quintana\Documents\"/>
    </mc:Choice>
  </mc:AlternateContent>
  <xr:revisionPtr revIDLastSave="0" documentId="13_ncr:1_{B5FFB346-8F9E-46B4-9929-73707A777127}" xr6:coauthVersionLast="47" xr6:coauthVersionMax="47" xr10:uidLastSave="{00000000-0000-0000-0000-000000000000}"/>
  <bookViews>
    <workbookView xWindow="-120" yWindow="-120" windowWidth="24240" windowHeight="13140" xr2:uid="{22D0AF19-6BA2-4090-97A2-89A26B051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<sst xmlns="http://schemas.openxmlformats.org/spreadsheetml/2006/main" count="20" uniqueCount="20">
  <si>
    <t xml:space="preserve">NIT </t>
  </si>
  <si>
    <t>Empresa</t>
  </si>
  <si>
    <t>Monto Solicitado</t>
  </si>
  <si>
    <t xml:space="preserve">Ingresos Mensuales </t>
  </si>
  <si>
    <t xml:space="preserve">Dictamen Inicial </t>
  </si>
  <si>
    <t xml:space="preserve">Mac Donald </t>
  </si>
  <si>
    <t>Burger King</t>
  </si>
  <si>
    <t>Adidas</t>
  </si>
  <si>
    <t xml:space="preserve">Novex </t>
  </si>
  <si>
    <t>Cemaco</t>
  </si>
  <si>
    <t>Pollo Campero</t>
  </si>
  <si>
    <t>Rolex</t>
  </si>
  <si>
    <t>Victory Secret´s</t>
  </si>
  <si>
    <t>Nike</t>
  </si>
  <si>
    <t>Forever 21</t>
  </si>
  <si>
    <t xml:space="preserve">Bershka </t>
  </si>
  <si>
    <t>Avon</t>
  </si>
  <si>
    <t xml:space="preserve">Puma </t>
  </si>
  <si>
    <t>ToTo</t>
  </si>
  <si>
    <t xml:space="preserve">Motorola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</si>
</sst>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Q&quot;#,##0;[Red]\-&quot;Q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4">
    <dxf>
      <numFmt numFmtId="10" formatCode="&quot;Q&quot;#,##0;[Red]\-&quot;Q&quot;#,##0"/>
    </dxf>
    <dxf>
      <numFmt numFmtId="10" formatCode="&quot;Q&quot;#,##0;[Red]\-&quot;Q&quot;#,##0"/>
    </dxf>
    <dxf>
      <fill>
        <patternFill>
          <bgColor rgb="FFF08080"/>
        </patternFill>
      </fill>
    </dxf>
    <dxf>
      <font>
        <color rgb="FF808080"/>
      </font>
      <fill>
        <gradientFill degree="90">
          <stop position="0">
            <color rgb="FFFFE4E1"/>
          </stop>
          <stop position="1">
            <color rgb="FFEEE8AA"/>
          </stop>
        </gradientFill>
      </fill>
      <border>
        <left style="thin">
          <color rgb="FFFFF0F5"/>
        </left>
        <right style="thin">
          <color rgb="FFFFF0F5"/>
        </right>
        <top style="thin">
          <color rgb="FFFFF0F5"/>
        </top>
        <bottom style="thin">
          <color rgb="FFFFF0F5"/>
        </bottom>
        <horizontal style="thin">
          <color rgb="FFFFF0F5"/>
        </horizontal>
      </border>
    </dxf>
  </dxfs>
  <tableStyles count="1" defaultTableStyle="TableStyleMedium2" defaultPivotStyle="PivotStyleLight16">
    <tableStyle name="Table Style 1" pivot="0" count="2" xr9:uid="{0FC63ABF-1C22-49C1-AFC4-E1F16AB5EF0F}">
      <tableStyleElement type="wholeTable" dxfId="3"/>
      <tableStyleElement type="headerRow" dxfId="2"/>
    </tableStyle>
  </tableStyles>
  <colors>
    <mruColors>
      <color rgb="FFF08080"/>
      <color rgb="FFEEE8AA"/>
      <color rgb="FFFFE4E1"/>
      <color rgb="FFFFF0F5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0AE84-C074-4BF7-A13D-ECA36C36329B}" name="Table1" displayName="Table1" ref="A1:E16" totalsRowShown="0">
  <autoFilter ref="A1:E16" xr:uid="{BC10AE84-C074-4BF7-A13D-ECA36C36329B}"/>
  <tableColumns count="5">
    <tableColumn id="1" xr3:uid="{9C52EADF-E20C-42BF-B30D-F2A97918507F}" name="NIT "/>
    <tableColumn id="2" xr3:uid="{1D7C94A1-4060-4B74-93C3-A59F37448113}" name="Empresa"/>
    <tableColumn id="3" xr3:uid="{395339D8-D16F-49D2-8494-E860EAA5F849}" name="Monto Solicitado" dataDxfId="1"/>
    <tableColumn id="4" xr3:uid="{6E341309-7E5C-4CBA-9597-4EEE7ECC48C6}" name="Ingresos Mensuales " dataDxfId="0"/>
    <tableColumn id="5" xr3:uid="{5A3D7587-967E-49EA-B824-718932103176}" name="Dictamen Inicial ">
      <calculatedColumnFormula>IF(D2&gt;=50000,"Aprobación Inmediata",IF(D2&gt;=30000,"Requiere Codeudor",IF(D2&gt;=15000,"Analisis de Comité",IF(C2&lt;15000,"Credito Denegado"))))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479F-3B00-4EBD-A220-86677755F18C}">
  <dimension ref="A1:E16"/>
  <sheetViews>
    <sheetView tabSelected="1" workbookViewId="0">
      <selection activeCell="F7" sqref="F7"/>
    </sheetView>
  </sheetViews>
  <sheetFormatPr defaultRowHeight="15" x14ac:dyDescent="0.25"/>
  <cols>
    <col min="2" max="2" width="19.85546875" customWidth="1"/>
    <col min="3" max="3" width="18.28515625" customWidth="1"/>
    <col min="4" max="4" width="21.140625" customWidth="1"/>
    <col min="5" max="5" width="2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12345678</v>
      </c>
      <c r="B2" t="s">
        <v>5</v>
      </c>
      <c r="C2" s="1">
        <v>100000</v>
      </c>
      <c r="D2" s="1">
        <v>35000</v>
      </c>
      <c r="E2" t="str">
        <f>IF(D2&gt;=50000,"Aprobación Inmediata",IF(D2&gt;=30000,"Requiere Codeudor",IF(D2&gt;=15000,"Analisis de Comité",IF(C2&lt;15000,"Credito Denegado"))))</f>
        <v>Requiere Codeudor</v>
      </c>
    </row>
    <row r="3" spans="1:5" x14ac:dyDescent="0.25">
      <c r="A3">
        <v>34567890</v>
      </c>
      <c r="B3" t="s">
        <v>6</v>
      </c>
      <c r="C3" s="1">
        <v>90000</v>
      </c>
      <c r="D3" s="1">
        <v>40000</v>
      </c>
      <c r="E3" t="str">
        <f t="shared" ref="E3:E16" si="0">IF(D3&gt;=50000,"Aprobación Inmediata",IF(D3&gt;=30000,"Requiere Codeudor",IF(D3&gt;=15000,"Analisis de Comité",IF(C3&lt;15000,"Credito Denegado"))))</f>
        <v>Requiere Codeudor</v>
      </c>
    </row>
    <row r="4" spans="1:5" x14ac:dyDescent="0.25">
      <c r="A4">
        <v>13578906</v>
      </c>
      <c r="B4" t="s">
        <v>7</v>
      </c>
      <c r="C4" s="1">
        <v>150000</v>
      </c>
      <c r="D4" s="1">
        <v>45000</v>
      </c>
      <c r="E4" t="str">
        <f t="shared" si="0"/>
        <v>Requiere Codeudor</v>
      </c>
    </row>
    <row r="5" spans="1:5" x14ac:dyDescent="0.25">
      <c r="A5">
        <v>34567890</v>
      </c>
      <c r="B5" t="s">
        <v>8</v>
      </c>
      <c r="C5" s="1">
        <v>120000</v>
      </c>
      <c r="D5" s="1">
        <v>50000</v>
      </c>
      <c r="E5" t="str">
        <f>IF(D5&gt;=50000,"Aprobación Inmediata",IF(D5&gt;=30000,"Requiere Codeudor",IF(D5&gt;=15000,"Analisis de Comité",IF(C5&lt;15000,"Credito Denegado"))))</f>
        <v>Aprobación Inmediata</v>
      </c>
    </row>
    <row r="6" spans="1:5" x14ac:dyDescent="0.25">
      <c r="A6">
        <v>76543217</v>
      </c>
      <c r="B6" t="s">
        <v>9</v>
      </c>
      <c r="C6" s="1">
        <v>95000</v>
      </c>
      <c r="D6" s="1">
        <v>55000</v>
      </c>
      <c r="E6" t="str">
        <f t="shared" si="0"/>
        <v>Aprobación Inmediata</v>
      </c>
    </row>
    <row r="7" spans="1:5" x14ac:dyDescent="0.25">
      <c r="A7">
        <v>9876543</v>
      </c>
      <c r="B7" t="s">
        <v>10</v>
      </c>
      <c r="C7" s="1">
        <v>55000</v>
      </c>
      <c r="D7" s="1">
        <v>52000</v>
      </c>
      <c r="E7" t="str">
        <f t="shared" si="0"/>
        <v>Aprobación Inmediata</v>
      </c>
    </row>
    <row r="8" spans="1:5" x14ac:dyDescent="0.25">
      <c r="A8">
        <v>97060845</v>
      </c>
      <c r="B8" t="s">
        <v>11</v>
      </c>
      <c r="C8" s="1">
        <v>80000</v>
      </c>
      <c r="D8" s="1">
        <v>60000</v>
      </c>
      <c r="E8" t="str">
        <f t="shared" si="0"/>
        <v>Aprobación Inmediata</v>
      </c>
    </row>
    <row r="9" spans="1:5" x14ac:dyDescent="0.25">
      <c r="A9">
        <v>12579075</v>
      </c>
      <c r="B9" t="s">
        <v>12</v>
      </c>
      <c r="C9" s="1">
        <v>85000</v>
      </c>
      <c r="D9" s="1">
        <v>65000</v>
      </c>
      <c r="E9" t="str">
        <f t="shared" si="0"/>
        <v>Aprobación Inmediata</v>
      </c>
    </row>
    <row r="10" spans="1:5" x14ac:dyDescent="0.25">
      <c r="A10">
        <v>23456780</v>
      </c>
      <c r="B10" t="s">
        <v>13</v>
      </c>
      <c r="C10" s="1">
        <v>100000</v>
      </c>
      <c r="D10" s="1">
        <v>62000</v>
      </c>
      <c r="E10" t="str">
        <f t="shared" si="0"/>
        <v>Aprobación Inmediata</v>
      </c>
    </row>
    <row r="11" spans="1:5" x14ac:dyDescent="0.25">
      <c r="A11">
        <v>43217654</v>
      </c>
      <c r="B11" t="s">
        <v>14</v>
      </c>
      <c r="C11" s="1">
        <v>90000</v>
      </c>
      <c r="D11" s="1">
        <v>72000</v>
      </c>
      <c r="E11" t="str">
        <f t="shared" si="0"/>
        <v>Aprobación Inmediata</v>
      </c>
    </row>
    <row r="12" spans="1:5" x14ac:dyDescent="0.25">
      <c r="A12">
        <v>87653423</v>
      </c>
      <c r="B12" t="s">
        <v>15</v>
      </c>
      <c r="C12" s="1">
        <v>87000</v>
      </c>
      <c r="D12" s="1">
        <v>45000</v>
      </c>
      <c r="E12" t="str">
        <f t="shared" si="0"/>
        <v>Requiere Codeudor</v>
      </c>
    </row>
    <row r="13" spans="1:5" x14ac:dyDescent="0.25">
      <c r="A13">
        <v>78096542</v>
      </c>
      <c r="B13" t="s">
        <v>16</v>
      </c>
      <c r="C13" s="1">
        <v>760000</v>
      </c>
      <c r="D13" s="1">
        <v>58000</v>
      </c>
      <c r="E13" t="str">
        <f t="shared" si="0"/>
        <v>Aprobación Inmediata</v>
      </c>
    </row>
    <row r="14" spans="1:5" x14ac:dyDescent="0.25">
      <c r="A14">
        <v>12340987</v>
      </c>
      <c r="B14" t="s">
        <v>17</v>
      </c>
      <c r="C14" s="1">
        <v>100000</v>
      </c>
      <c r="D14" s="1">
        <v>60000</v>
      </c>
      <c r="E14" t="str">
        <f t="shared" si="0"/>
        <v>Aprobación Inmediata</v>
      </c>
    </row>
    <row r="15" spans="1:5" x14ac:dyDescent="0.25">
      <c r="A15">
        <v>34798523</v>
      </c>
      <c r="B15" t="s">
        <v>18</v>
      </c>
      <c r="C15" s="1">
        <v>135000</v>
      </c>
      <c r="D15" s="1">
        <v>28000</v>
      </c>
      <c r="E15" t="str">
        <f t="shared" si="0"/>
        <v>Analisis de Comité</v>
      </c>
    </row>
    <row r="16" spans="1:5" x14ac:dyDescent="0.25">
      <c r="A16">
        <v>21928374</v>
      </c>
      <c r="B16" t="s">
        <v>19</v>
      </c>
      <c r="C16" s="1">
        <v>143000</v>
      </c>
      <c r="D16" s="1">
        <v>42000</v>
      </c>
      <c r="E16" t="str">
        <f t="shared" si="0"/>
        <v>Requiere Codeudor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Quintana</dc:creator>
  <cp:lastModifiedBy>Joel Quintana</cp:lastModifiedBy>
  <dcterms:created xsi:type="dcterms:W3CDTF">2026-05-21T14:55:09Z</dcterms:created>
  <dcterms:modified xsi:type="dcterms:W3CDTF">2026-05-21T16:00:55Z</dcterms:modified>
</cp:coreProperties>
</file>